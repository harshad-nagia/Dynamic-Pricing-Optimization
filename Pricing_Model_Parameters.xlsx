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3503FD3-1215-4E64-85E4-03C35BC9C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2" i="1"/>
  <c r="H3" i="1"/>
  <c r="H4" i="1"/>
  <c r="H5" i="1"/>
  <c r="H6" i="1"/>
  <c r="H7" i="1"/>
  <c r="H8" i="1"/>
  <c r="H9" i="1"/>
  <c r="H10" i="1"/>
  <c r="H11" i="1"/>
  <c r="H12" i="1"/>
  <c r="H2" i="1"/>
  <c r="E7" i="1"/>
  <c r="E2" i="1"/>
  <c r="E8" i="1" l="1"/>
  <c r="E10" i="1" s="1"/>
  <c r="E9" i="1" l="1"/>
</calcChain>
</file>

<file path=xl/sharedStrings.xml><?xml version="1.0" encoding="utf-8"?>
<sst xmlns="http://schemas.openxmlformats.org/spreadsheetml/2006/main" count="17" uniqueCount="17">
  <si>
    <t>Metric</t>
  </si>
  <si>
    <t>Value</t>
  </si>
  <si>
    <t>Price Elasticity (Beta)</t>
  </si>
  <si>
    <t>Demand Constant (K)</t>
  </si>
  <si>
    <t>Current Average Price</t>
  </si>
  <si>
    <t>--- SCENARIO INPUTS ---</t>
  </si>
  <si>
    <t>Base Price:</t>
  </si>
  <si>
    <t>Proposed Price Change:</t>
  </si>
  <si>
    <t>Variable Cost per Unit:</t>
  </si>
  <si>
    <t>--- PROJECTIONS ---</t>
  </si>
  <si>
    <t>New Price:</t>
  </si>
  <si>
    <t>Projected Demand:</t>
  </si>
  <si>
    <t>Projected Revenue:</t>
  </si>
  <si>
    <t>Projected Profit:</t>
  </si>
  <si>
    <t>Price Change %</t>
  </si>
  <si>
    <t>Simulated Price</t>
  </si>
  <si>
    <t>Simulated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</si>
</sst>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874890638670167E-2"/>
          <c:y val="0.19200277048702247"/>
          <c:w val="0.89185433070866138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Simulated 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Sheet1!$G$2:$G$12</c:f>
              <c:numCache>
                <c:formatCode>0%</c:formatCode>
                <c:ptCount val="11"/>
                <c:pt idx="0">
                  <c:v>-0.5</c:v>
                </c:pt>
                <c:pt idx="1">
                  <c:v>-0.4</c:v>
                </c:pt>
                <c:pt idx="2">
                  <c:v>-0.3</c:v>
                </c:pt>
                <c:pt idx="3">
                  <c:v>-0.2</c:v>
                </c:pt>
                <c:pt idx="4">
                  <c:v>-0.1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</c:numCache>
            </c:numRef>
          </c:xVal>
          <c:yVal>
            <c:numRef>
              <c:f>Sheet1!$H$2:$H$12</c:f>
              <c:numCache>
                <c:formatCode>General</c:formatCode>
                <c:ptCount val="11"/>
                <c:pt idx="0">
                  <c:v>42.441146874999994</c:v>
                </c:pt>
                <c:pt idx="1">
                  <c:v>50.92937624999999</c:v>
                </c:pt>
                <c:pt idx="2">
                  <c:v>59.417605624999986</c:v>
                </c:pt>
                <c:pt idx="3">
                  <c:v>67.905834999999996</c:v>
                </c:pt>
                <c:pt idx="4">
                  <c:v>76.394064374999985</c:v>
                </c:pt>
                <c:pt idx="5">
                  <c:v>84.882293749999988</c:v>
                </c:pt>
                <c:pt idx="6">
                  <c:v>93.370523124999991</c:v>
                </c:pt>
                <c:pt idx="7">
                  <c:v>101.85875249999998</c:v>
                </c:pt>
                <c:pt idx="8">
                  <c:v>110.34698187499998</c:v>
                </c:pt>
                <c:pt idx="9">
                  <c:v>118.83521124999997</c:v>
                </c:pt>
                <c:pt idx="10">
                  <c:v>127.32344062499999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B-4291-A25E-8DD96103F101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Simulated Profit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Sheet1!$G$2:$G$12</c:f>
              <c:numCache>
                <c:formatCode>0%</c:formatCode>
                <c:ptCount val="11"/>
                <c:pt idx="0">
                  <c:v>-0.5</c:v>
                </c:pt>
                <c:pt idx="1">
                  <c:v>-0.4</c:v>
                </c:pt>
                <c:pt idx="2">
                  <c:v>-0.3</c:v>
                </c:pt>
                <c:pt idx="3">
                  <c:v>-0.2</c:v>
                </c:pt>
                <c:pt idx="4">
                  <c:v>-0.1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</c:numCache>
            </c:numRef>
          </c:xVal>
          <c:yVal>
            <c:numRef>
              <c:f>Sheet1!$I$2:$I$12</c:f>
              <c:numCache>
                <c:formatCode>General</c:formatCode>
                <c:ptCount val="11"/>
                <c:pt idx="0">
                  <c:v>-1362.4918099906549</c:v>
                </c:pt>
                <c:pt idx="1">
                  <c:v>127.42913766575387</c:v>
                </c:pt>
                <c:pt idx="2">
                  <c:v>1024.6440260014776</c:v>
                </c:pt>
                <c:pt idx="3">
                  <c:v>1594.4759282609509</c:v>
                </c:pt>
                <c:pt idx="4">
                  <c:v>1969.6187699957545</c:v>
                </c:pt>
                <c:pt idx="5">
                  <c:v>2222.4293915915655</c:v>
                </c:pt>
                <c:pt idx="6">
                  <c:v>2395.0436651366117</c:v>
                </c:pt>
                <c:pt idx="7">
                  <c:v>2513.2991405366943</c:v>
                </c:pt>
                <c:pt idx="8">
                  <c:v>2593.7123080610691</c:v>
                </c:pt>
                <c:pt idx="9">
                  <c:v>2647.2082359513993</c:v>
                </c:pt>
                <c:pt idx="10">
                  <c:v>2681.2223805378562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B-4291-A25E-8DD96103F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05392"/>
        <c:axId val="1156204144"/>
      </c:scatterChart>
      <c:valAx>
        <c:axId val="115620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04144"/>
        <c:crosses val="autoZero"/>
        <c:crossBetween val="midCat"/>
      </c:valAx>
      <c:valAx>
        <c:axId val="11562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0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0</xdr:row>
      <xdr:rowOff>163830</xdr:rowOff>
    </xdr:from>
    <xdr:to>
      <xdr:col>16</xdr:col>
      <xdr:colOff>571500</xdr:colOff>
      <xdr:row>15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96962-551E-4D76-B8C6-5D080D48C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H22" sqref="H22"/>
    </sheetView>
  </sheetViews>
  <sheetFormatPr defaultRowHeight="14.4"/>
  <cols>
    <col min="4" max="4" width="20.33203125" customWidth="1"/>
    <col min="7" max="7" width="18.21875" customWidth="1"/>
    <col min="8" max="8" width="17.5546875" customWidth="1"/>
    <col min="9" max="9" width="16.77734375" customWidth="1"/>
  </cols>
  <sheetData>
    <row r="1" spans="1:9">
      <c r="A1" s="1" t="s">
        <v>0</v>
      </c>
      <c r="B1" s="1" t="s">
        <v>1</v>
      </c>
      <c r="D1" t="s">
        <v>5</v>
      </c>
      <c r="G1" t="s">
        <v>14</v>
      </c>
      <c r="H1" t="s">
        <v>15</v>
      </c>
      <c r="I1" t="s">
        <v>16</v>
      </c>
    </row>
    <row r="2" spans="1:9">
      <c r="A2" t="s">
        <v>2</v>
      </c>
      <c r="B2">
        <v>-1.500365622220541</v>
      </c>
      <c r="D2" t="s">
        <v>6</v>
      </c>
      <c r="E2">
        <f>B4</f>
        <v>84.882293749999988</v>
      </c>
      <c r="G2" s="3">
        <v>-0.5</v>
      </c>
      <c r="H2" s="4">
        <f>$E$2 * (1 + G2)</f>
        <v>42.441146874999994</v>
      </c>
      <c r="I2" s="4">
        <f>(H2 - $E$4) * ($B$3 * (H2 ^ $B$2))</f>
        <v>-1362.4918099906549</v>
      </c>
    </row>
    <row r="3" spans="1:9">
      <c r="A3" t="s">
        <v>3</v>
      </c>
      <c r="B3">
        <v>49906.121045025291</v>
      </c>
      <c r="D3" t="s">
        <v>7</v>
      </c>
      <c r="E3" s="3">
        <v>0.1</v>
      </c>
      <c r="G3" s="3">
        <v>-0.4</v>
      </c>
      <c r="H3" s="4">
        <f t="shared" ref="H3:H12" si="0">$E$2 * (1 + G3)</f>
        <v>50.92937624999999</v>
      </c>
      <c r="I3" s="4">
        <f t="shared" ref="I3:I12" si="1">(H3 - $E$4) * ($B$3 * (H3 ^ $B$2))</f>
        <v>127.42913766575387</v>
      </c>
    </row>
    <row r="4" spans="1:9">
      <c r="A4" t="s">
        <v>4</v>
      </c>
      <c r="B4">
        <v>84.882293749999988</v>
      </c>
      <c r="D4" t="s">
        <v>8</v>
      </c>
      <c r="E4">
        <v>50</v>
      </c>
      <c r="G4" s="3">
        <v>-0.3</v>
      </c>
      <c r="H4" s="4">
        <f t="shared" si="0"/>
        <v>59.417605624999986</v>
      </c>
      <c r="I4" s="4">
        <f t="shared" si="1"/>
        <v>1024.6440260014776</v>
      </c>
    </row>
    <row r="5" spans="1:9">
      <c r="G5" s="3">
        <v>-0.2</v>
      </c>
      <c r="H5" s="4">
        <f t="shared" si="0"/>
        <v>67.905834999999996</v>
      </c>
      <c r="I5" s="4">
        <f t="shared" si="1"/>
        <v>1594.4759282609509</v>
      </c>
    </row>
    <row r="6" spans="1:9">
      <c r="D6" s="2" t="s">
        <v>9</v>
      </c>
      <c r="G6" s="3">
        <v>-0.1</v>
      </c>
      <c r="H6" s="4">
        <f t="shared" si="0"/>
        <v>76.394064374999985</v>
      </c>
      <c r="I6" s="4">
        <f t="shared" si="1"/>
        <v>1969.6187699957545</v>
      </c>
    </row>
    <row r="7" spans="1:9">
      <c r="D7" t="s">
        <v>10</v>
      </c>
      <c r="E7">
        <f>E2 * (1 + E3)</f>
        <v>93.370523124999991</v>
      </c>
      <c r="G7" s="3">
        <v>0</v>
      </c>
      <c r="H7" s="4">
        <f t="shared" si="0"/>
        <v>84.882293749999988</v>
      </c>
      <c r="I7" s="4">
        <f t="shared" si="1"/>
        <v>2222.4293915915655</v>
      </c>
    </row>
    <row r="8" spans="1:9">
      <c r="D8" t="s">
        <v>11</v>
      </c>
      <c r="E8">
        <f>$B$3 * (E7 ^ $B$2)</f>
        <v>55.222844747197456</v>
      </c>
      <c r="G8" s="3">
        <v>0.1</v>
      </c>
      <c r="H8" s="4">
        <f t="shared" si="0"/>
        <v>93.370523124999991</v>
      </c>
      <c r="I8" s="4">
        <f t="shared" si="1"/>
        <v>2395.0436651366117</v>
      </c>
    </row>
    <row r="9" spans="1:9">
      <c r="D9" t="s">
        <v>12</v>
      </c>
      <c r="E9">
        <f>E7 * E8</f>
        <v>5156.1859024964842</v>
      </c>
      <c r="G9" s="3">
        <v>0.2</v>
      </c>
      <c r="H9" s="4">
        <f t="shared" si="0"/>
        <v>101.85875249999998</v>
      </c>
      <c r="I9" s="4">
        <f t="shared" si="1"/>
        <v>2513.2991405366943</v>
      </c>
    </row>
    <row r="10" spans="1:9">
      <c r="D10" t="s">
        <v>13</v>
      </c>
      <c r="E10">
        <f>(E7 - E4) * E8</f>
        <v>2395.0436651366117</v>
      </c>
      <c r="G10" s="3">
        <v>0.3</v>
      </c>
      <c r="H10" s="4">
        <f t="shared" si="0"/>
        <v>110.34698187499998</v>
      </c>
      <c r="I10" s="4">
        <f t="shared" si="1"/>
        <v>2593.7123080610691</v>
      </c>
    </row>
    <row r="11" spans="1:9">
      <c r="G11" s="3">
        <v>0.4</v>
      </c>
      <c r="H11" s="4">
        <f t="shared" si="0"/>
        <v>118.83521124999997</v>
      </c>
      <c r="I11" s="4">
        <f t="shared" si="1"/>
        <v>2647.2082359513993</v>
      </c>
    </row>
    <row r="12" spans="1:9">
      <c r="G12" s="3">
        <v>0.5</v>
      </c>
      <c r="H12" s="4">
        <f t="shared" si="0"/>
        <v>127.32344062499999</v>
      </c>
      <c r="I12" s="4">
        <f t="shared" si="1"/>
        <v>2681.2223805378562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2026-03-31T06:58:41Z</dcterms:created>
  <dcterms:modified xsi:type="dcterms:W3CDTF">2026-03-31T08:52:57Z</dcterms:modified>
</cp:coreProperties>
</file>